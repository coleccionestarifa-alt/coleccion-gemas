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GITHUB\coleccion-gemas\"/>
    </mc:Choice>
  </mc:AlternateContent>
  <xr:revisionPtr revIDLastSave="0" documentId="13_ncr:1_{EABF70C3-839A-4871-93D7-44F4602F4A97}" xr6:coauthVersionLast="47" xr6:coauthVersionMax="47" xr10:uidLastSave="{00000000-0000-0000-0000-000000000000}"/>
  <bookViews>
    <workbookView xWindow="-108" yWindow="-108" windowWidth="30936" windowHeight="12576" xr2:uid="{00000000-000D-0000-FFFF-FFFF00000000}"/>
  </bookViews>
  <sheets>
    <sheet name="Gemas" sheetId="1" r:id="rId1"/>
  </sheets>
  <definedNames>
    <definedName name="_xlnm._FilterDatabase" localSheetId="0" hidden="1">Gemas!$A$1:$U$1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5" i="1" l="1"/>
  <c r="R15" i="1"/>
  <c r="P15" i="1"/>
  <c r="O15" i="1"/>
  <c r="Q14" i="1"/>
  <c r="Q3" i="1"/>
  <c r="Q4" i="1"/>
  <c r="Q5" i="1"/>
  <c r="Q6" i="1"/>
  <c r="Q7" i="1"/>
  <c r="Q8" i="1"/>
  <c r="Q9" i="1"/>
  <c r="Q10" i="1"/>
  <c r="Q11" i="1"/>
  <c r="Q12" i="1"/>
  <c r="Q13" i="1"/>
  <c r="Q2" i="1"/>
  <c r="Q15" i="1" l="1"/>
</calcChain>
</file>

<file path=xl/sharedStrings.xml><?xml version="1.0" encoding="utf-8"?>
<sst xmlns="http://schemas.openxmlformats.org/spreadsheetml/2006/main" count="175" uniqueCount="130">
  <si>
    <t>SKU</t>
  </si>
  <si>
    <t>Gema</t>
  </si>
  <si>
    <t>Peso (ct)</t>
  </si>
  <si>
    <t>Dimensiones (mm)</t>
  </si>
  <si>
    <t>Certificado</t>
  </si>
  <si>
    <t>Color</t>
  </si>
  <si>
    <t>Tratamiento</t>
  </si>
  <si>
    <t>Sellado</t>
  </si>
  <si>
    <t>Forma</t>
  </si>
  <si>
    <t>Pureza</t>
  </si>
  <si>
    <t>Origen</t>
  </si>
  <si>
    <t>Notas</t>
  </si>
  <si>
    <t>Fecha de compra</t>
  </si>
  <si>
    <t>Vendedor</t>
  </si>
  <si>
    <t>Precio</t>
  </si>
  <si>
    <t>Portes</t>
  </si>
  <si>
    <t>Total</t>
  </si>
  <si>
    <t>Rango mín.</t>
  </si>
  <si>
    <t>Rango máx.</t>
  </si>
  <si>
    <t>Ubicación</t>
  </si>
  <si>
    <t>Anotaciones</t>
  </si>
  <si>
    <t>Aguamarina</t>
  </si>
  <si>
    <t>22.62</t>
  </si>
  <si>
    <t>Aguamarina azul pálido</t>
  </si>
  <si>
    <t>31/10/2025</t>
  </si>
  <si>
    <t>Aguamarina azul</t>
  </si>
  <si>
    <t>07/11/2025</t>
  </si>
  <si>
    <t>Azul</t>
  </si>
  <si>
    <t>12/11/2025</t>
  </si>
  <si>
    <t>Turmalina</t>
  </si>
  <si>
    <t>13/11/2025</t>
  </si>
  <si>
    <t>Tanzanita</t>
  </si>
  <si>
    <t>Azul violáceo</t>
  </si>
  <si>
    <t>21/11/2025</t>
  </si>
  <si>
    <t>Topacio</t>
  </si>
  <si>
    <t>24/11/2025</t>
  </si>
  <si>
    <t>Esmeralda</t>
  </si>
  <si>
    <t>05/12/2025</t>
  </si>
  <si>
    <t>19/12/2025</t>
  </si>
  <si>
    <t>Citrino</t>
  </si>
  <si>
    <t>03/01/2026</t>
  </si>
  <si>
    <t>Topacio natural</t>
  </si>
  <si>
    <t>18,71 x 13,55 x 10,03</t>
  </si>
  <si>
    <t>Topacio azul bien cortado</t>
  </si>
  <si>
    <t>Irradiado</t>
  </si>
  <si>
    <t>No</t>
  </si>
  <si>
    <t>Oval</t>
  </si>
  <si>
    <t>Limpio al ojo</t>
  </si>
  <si>
    <t>África</t>
  </si>
  <si>
    <t>10/01/2026</t>
  </si>
  <si>
    <t>Casa</t>
  </si>
  <si>
    <t>TOTAL</t>
  </si>
  <si>
    <t>Sí</t>
  </si>
  <si>
    <t>21,26 x 12,48 x 10,72</t>
  </si>
  <si>
    <t>12,34 x 10,28 x 6,19</t>
  </si>
  <si>
    <t>Octágono</t>
  </si>
  <si>
    <t>Aplicación de calor sin evidencias de tratamiento</t>
  </si>
  <si>
    <t>ALGT-88147960</t>
  </si>
  <si>
    <t>ALGT-67105313</t>
  </si>
  <si>
    <t>IGE-D-61879 - Tasación: 900 €</t>
  </si>
  <si>
    <t>Talla escalonada-Corte excelente</t>
  </si>
  <si>
    <t>IGE-D58120</t>
  </si>
  <si>
    <t>12,13 x 8,37 x 4,88 - 10,26 x 8,48 x 5,00</t>
  </si>
  <si>
    <t>Cojín, pera</t>
  </si>
  <si>
    <t>2 gemas - Talla facetada</t>
  </si>
  <si>
    <t>Catawiki-Virnatto</t>
  </si>
  <si>
    <t>IGE-D53909</t>
  </si>
  <si>
    <t>8,10 x 6,14 x 4,15 - 8,09 x 6,16 x 3,87</t>
  </si>
  <si>
    <t>Sin evidencias</t>
  </si>
  <si>
    <t>Verde vítreo</t>
  </si>
  <si>
    <t>Rectángulo, esmeralda</t>
  </si>
  <si>
    <t>Catawiki-Facet Hall</t>
  </si>
  <si>
    <t>Talla esmeralda</t>
  </si>
  <si>
    <t>Bellerophon Gemlab-B48260</t>
  </si>
  <si>
    <t>15,72 x 12x24 x 6x42</t>
  </si>
  <si>
    <t>Catawiki-NoReserveAuctions</t>
  </si>
  <si>
    <t>Zoisite natural</t>
  </si>
  <si>
    <t>Tanzania</t>
  </si>
  <si>
    <t>Calentado suavemente</t>
  </si>
  <si>
    <t xml:space="preserve">Octogonal </t>
  </si>
  <si>
    <t>ALGT-92444619</t>
  </si>
  <si>
    <t>19,39 x 15,77 x 11,49</t>
  </si>
  <si>
    <t>Cojín</t>
  </si>
  <si>
    <t>No se especifica</t>
  </si>
  <si>
    <t>Inclusiones leves</t>
  </si>
  <si>
    <t>Corte muy bien</t>
  </si>
  <si>
    <t>Topacio azul intenso/vivo. Azul Suiza</t>
  </si>
  <si>
    <t xml:space="preserve">Catawiki-Khadija Gemstones </t>
  </si>
  <si>
    <t>IGE-D59605</t>
  </si>
  <si>
    <t>3 piedras</t>
  </si>
  <si>
    <t>5,96 x 4,06 x 3,40 - 6,33 x 4,16 x 3,35 - 5,98 x 4,04 x 3,03</t>
  </si>
  <si>
    <t>Verde azulado</t>
  </si>
  <si>
    <t>Zambia</t>
  </si>
  <si>
    <t>F1 Aceite menor</t>
  </si>
  <si>
    <t>Rectangular esmeralda</t>
  </si>
  <si>
    <t>Catawiki-Joseandréshurtadomelero</t>
  </si>
  <si>
    <t>ALGT-63963036</t>
  </si>
  <si>
    <t>16,53 x 8,52 x 7,16</t>
  </si>
  <si>
    <t>Azul muy claro</t>
  </si>
  <si>
    <t>Corte octogonal modificado</t>
  </si>
  <si>
    <t>Forma y corte corte escalonado octogonal modificado</t>
  </si>
  <si>
    <t>ALGT-21535690</t>
  </si>
  <si>
    <t>30,46 x 25x68 x 16,51</t>
  </si>
  <si>
    <t>Corte ovalado tallado</t>
  </si>
  <si>
    <t>Amarillo ámbar</t>
  </si>
  <si>
    <t>Casi limpio a la vista</t>
  </si>
  <si>
    <t>Calentamiento habitual, no consta</t>
  </si>
  <si>
    <t>ALGT-24135170</t>
  </si>
  <si>
    <t>24,40 x 21,20 x 15,75</t>
  </si>
  <si>
    <t>Corte mixto de cojín</t>
  </si>
  <si>
    <t>Amarillo anaranjado claro (desigual)</t>
  </si>
  <si>
    <t>Color amarillo citrino con un tono anaranjado claro.</t>
  </si>
  <si>
    <t>ICA-TH25G119082</t>
  </si>
  <si>
    <t>Corte excelente. Perfectly cut topaz #118</t>
  </si>
  <si>
    <t>Talla facetada</t>
  </si>
  <si>
    <t>Catawiki-NR Only Auctions</t>
  </si>
  <si>
    <t>Kunzita</t>
  </si>
  <si>
    <t>10,68 x 7,71 x 6,87</t>
  </si>
  <si>
    <t>IGE-D65102</t>
  </si>
  <si>
    <t>Rosa purpúreo</t>
  </si>
  <si>
    <t>Transparente</t>
  </si>
  <si>
    <t>Por llegar</t>
  </si>
  <si>
    <t>22,60 x 13,18 x 11,52</t>
  </si>
  <si>
    <t>ICA-TH26G117909</t>
  </si>
  <si>
    <t>Rosa anaranjado</t>
  </si>
  <si>
    <t>Desconocido</t>
  </si>
  <si>
    <t>Catawiki-Mineral Paradise Gems</t>
  </si>
  <si>
    <t>Comprada en Tailandia. Ebn portes se incluyen 21 € de IVA</t>
  </si>
  <si>
    <t>Sin fluorescencia - Tasación IGE: 450,00 €; Pureza: moderadas inclusiones</t>
  </si>
  <si>
    <t>Transparente; Espodumena natural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</si>
</sst>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Century Gothic"/>
    </font>
    <font>
      <sz val="9"/>
      <name val="Century Gothic"/>
      <family val="2"/>
    </font>
    <font>
      <sz val="9"/>
      <color theme="1"/>
      <name val="Calibri"/>
      <family val="2"/>
      <scheme val="minor"/>
    </font>
    <font>
      <b/>
      <sz val="9"/>
      <color rgb="FFFFFFFF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0F4F8"/>
      </patternFill>
    </fill>
    <fill>
      <patternFill patternType="solid">
        <fgColor rgb="FFFFFFFF"/>
      </patternFill>
    </fill>
    <fill>
      <patternFill patternType="solid">
        <fgColor rgb="FFD9E1EA"/>
      </patternFill>
    </fill>
    <fill>
      <patternFill patternType="solid">
        <fgColor rgb="FFF0F4F8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/>
    <xf numFmtId="3" fontId="1" fillId="5" borderId="1" xfId="0" applyNumberFormat="1" applyFont="1" applyFill="1" applyBorder="1" applyAlignment="1">
      <alignment horizontal="right" vertical="center"/>
    </xf>
    <xf numFmtId="3" fontId="0" fillId="5" borderId="1" xfId="0" applyNumberForma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14" fontId="2" fillId="3" borderId="6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25">
    <dxf>
      <font>
        <strike val="0"/>
        <outline val="0"/>
        <shadow val="0"/>
        <u val="none"/>
        <vertAlign val="baseline"/>
        <sz val="9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entury Gothic"/>
        <scheme val="none"/>
      </font>
      <numFmt numFmtId="0" formatCode="General"/>
      <fill>
        <patternFill patternType="solid">
          <fgColor indexed="64"/>
          <bgColor rgb="FFF0F4F8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entury Gothic"/>
        <scheme val="none"/>
      </font>
      <numFmt numFmtId="0" formatCode="General"/>
      <fill>
        <patternFill patternType="solid">
          <fgColor indexed="64"/>
          <bgColor rgb="FFF0F4F8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entury Gothic"/>
        <scheme val="none"/>
      </font>
      <numFmt numFmtId="0" formatCode="General"/>
      <fill>
        <patternFill patternType="solid">
          <fgColor indexed="64"/>
          <bgColor rgb="FFF0F4F8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entury Gothic"/>
        <scheme val="none"/>
      </font>
      <numFmt numFmtId="0" formatCode="General"/>
      <fill>
        <patternFill patternType="solid">
          <fgColor indexed="64"/>
          <bgColor rgb="FFF0F4F8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entury Gothic"/>
        <scheme val="none"/>
      </font>
      <numFmt numFmtId="0" formatCode="General"/>
      <fill>
        <patternFill patternType="solid">
          <fgColor indexed="64"/>
          <bgColor rgb="FFF0F4F8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entury Gothic"/>
        <scheme val="none"/>
      </font>
      <numFmt numFmtId="0" formatCode="General"/>
      <fill>
        <patternFill patternType="solid">
          <fgColor indexed="64"/>
          <bgColor rgb="FFF0F4F8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entury Gothic"/>
        <scheme val="none"/>
      </font>
      <numFmt numFmtId="0" formatCode="General"/>
      <fill>
        <patternFill patternType="solid">
          <fgColor indexed="64"/>
          <bgColor rgb="FFF0F4F8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strike val="0"/>
        <outline val="0"/>
        <shadow val="0"/>
        <u val="none"/>
        <vertAlign val="baseline"/>
        <sz val="9"/>
      </font>
      <numFmt numFmtId="0" formatCode="General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entury Gothic"/>
        <scheme val="none"/>
      </font>
      <numFmt numFmtId="0" formatCode="General"/>
      <fill>
        <patternFill patternType="solid">
          <fgColor indexed="64"/>
          <bgColor rgb="FFF0F4F8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entury Gothic"/>
        <scheme val="none"/>
      </font>
      <numFmt numFmtId="0" formatCode="General"/>
      <fill>
        <patternFill patternType="solid">
          <fgColor indexed="64"/>
          <bgColor rgb="FFF0F4F8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entury Gothic"/>
        <scheme val="none"/>
      </font>
      <numFmt numFmtId="0" formatCode="General"/>
      <fill>
        <patternFill patternType="solid">
          <fgColor indexed="64"/>
          <bgColor rgb="FFF0F4F8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entury Gothic"/>
        <scheme val="none"/>
      </font>
      <numFmt numFmtId="0" formatCode="General"/>
      <fill>
        <patternFill patternType="solid">
          <fgColor indexed="64"/>
          <bgColor rgb="FFF0F4F8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entury Gothic"/>
        <scheme val="none"/>
      </font>
      <numFmt numFmtId="0" formatCode="General"/>
      <fill>
        <patternFill patternType="solid">
          <fgColor indexed="64"/>
          <bgColor rgb="FFF0F4F8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entury Gothic"/>
        <scheme val="none"/>
      </font>
      <numFmt numFmtId="0" formatCode="General"/>
      <fill>
        <patternFill patternType="solid">
          <fgColor indexed="64"/>
          <bgColor rgb="FFF0F4F8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entury Gothic"/>
        <scheme val="none"/>
      </font>
      <numFmt numFmtId="0" formatCode="General"/>
      <fill>
        <patternFill patternType="solid">
          <fgColor indexed="64"/>
          <bgColor rgb="FFF0F4F8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entury Gothic"/>
        <scheme val="none"/>
      </font>
      <numFmt numFmtId="0" formatCode="General"/>
      <fill>
        <patternFill patternType="solid">
          <fgColor indexed="64"/>
          <bgColor rgb="FFF0F4F8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entury Gothic"/>
        <scheme val="none"/>
      </font>
      <numFmt numFmtId="0" formatCode="General"/>
      <fill>
        <patternFill patternType="solid">
          <fgColor indexed="64"/>
          <bgColor rgb="FFF0F4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entury Gothic"/>
        <scheme val="none"/>
      </font>
      <numFmt numFmtId="0" formatCode="General"/>
      <fill>
        <patternFill patternType="solid">
          <fgColor indexed="64"/>
          <bgColor rgb="FFF0F4F8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entury Gothic"/>
        <scheme val="none"/>
      </font>
      <numFmt numFmtId="0" formatCode="General"/>
      <fill>
        <patternFill patternType="solid">
          <fgColor indexed="64"/>
          <bgColor rgb="FFF0F4F8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entury Gothic"/>
        <scheme val="none"/>
      </font>
      <numFmt numFmtId="0" formatCode="General"/>
      <fill>
        <patternFill patternType="solid">
          <fgColor indexed="64"/>
          <bgColor rgb="FFF0F4F8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left style="thin">
          <color rgb="FFCCCCCC"/>
        </lef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entury Gothic"/>
        <scheme val="none"/>
      </font>
      <numFmt numFmtId="0" formatCode="General"/>
      <fill>
        <patternFill patternType="solid">
          <fgColor indexed="64"/>
          <bgColor rgb="FFF0F4F8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entury Gothic"/>
        <scheme val="none"/>
      </font>
      <fill>
        <patternFill patternType="solid">
          <fgColor indexed="64"/>
          <bgColor rgb="FF2E405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150012-F422-4681-B417-9B76375E8139}" name="Tabla1" displayName="Tabla1" ref="A1:U14" totalsRowShown="0" headerRowDxfId="24" dataDxfId="22" headerRowBorderDxfId="23" tableBorderDxfId="21">
  <autoFilter ref="A1:U14" xr:uid="{9B150012-F422-4681-B417-9B76375E8139}"/>
  <tableColumns count="21">
    <tableColumn id="1" xr3:uid="{2BB1E1FA-FB41-40AD-8901-3DD6E572AAF8}" name="SKU" dataDxfId="20"/>
    <tableColumn id="2" xr3:uid="{A3DD64BB-2E35-4833-8BF4-F6E2EB119882}" name="Gema" dataDxfId="19"/>
    <tableColumn id="3" xr3:uid="{C43BE31B-D136-4631-806E-ACC5C9805FCA}" name="Peso (ct)" dataDxfId="18"/>
    <tableColumn id="4" xr3:uid="{7FE2189A-C009-4E84-A5DC-ECAB70F06534}" name="Dimensiones (mm)" dataDxfId="17"/>
    <tableColumn id="5" xr3:uid="{3A80D51F-1A23-44C9-9D7E-41A0067CB1F7}" name="Certificado" dataDxfId="16"/>
    <tableColumn id="6" xr3:uid="{8A91EAE2-E750-491A-8A24-ABA5174A1FD3}" name="Color" dataDxfId="15"/>
    <tableColumn id="7" xr3:uid="{2D3D7685-EA02-40E0-8E96-7E2DCBB88D15}" name="Tratamiento" dataDxfId="14"/>
    <tableColumn id="8" xr3:uid="{3E8AC997-7DD5-452C-840F-9DAB4803FF36}" name="Sellado" dataDxfId="13"/>
    <tableColumn id="9" xr3:uid="{405A8E6A-A346-4E3B-8FFD-EC9FA3E8C9F9}" name="Forma" dataDxfId="12"/>
    <tableColumn id="10" xr3:uid="{67BE6327-D242-45AE-9FA1-1B5C8989B84C}" name="Pureza" dataDxfId="11"/>
    <tableColumn id="11" xr3:uid="{83A8A03D-7578-457F-BB44-FBE28C2CB19F}" name="Origen" dataDxfId="10"/>
    <tableColumn id="12" xr3:uid="{DEBBA08A-174E-4A70-87CE-50B5DA7AE3C4}" name="Notas" dataDxfId="9"/>
    <tableColumn id="13" xr3:uid="{8B7BFA4C-D8FA-4B33-B786-6E5EB74694F2}" name="Fecha de compra" dataDxfId="8"/>
    <tableColumn id="14" xr3:uid="{2C553D06-60B2-409F-9F14-00CB663D235F}" name="Vendedor" dataDxfId="7"/>
    <tableColumn id="15" xr3:uid="{DF34C1B6-DB4A-4900-8D15-31E1BE5BDC79}" name="Precio" dataDxfId="6"/>
    <tableColumn id="16" xr3:uid="{2E05AF3B-1F70-499B-BA4D-DB9321206C07}" name="Portes" dataDxfId="5"/>
    <tableColumn id="17" xr3:uid="{645F20AE-5784-4F5C-9728-1228FB4FF3F0}" name="Total" dataDxfId="4">
      <calculatedColumnFormula>SUM(O2:P2)</calculatedColumnFormula>
    </tableColumn>
    <tableColumn id="18" xr3:uid="{9BF619C7-36FE-45E5-BF05-AEF92A06CAAE}" name="Rango mín." dataDxfId="3"/>
    <tableColumn id="19" xr3:uid="{DEAE31A4-F8FD-420D-AEDF-DAE310C413A1}" name="Rango máx." dataDxfId="2"/>
    <tableColumn id="20" xr3:uid="{C2AC92DD-8E6E-432D-91C4-BF0E65B3CDA3}" name="Ubicación" dataDxfId="1"/>
    <tableColumn id="21" xr3:uid="{B82C1AD2-61D2-4502-B95D-6C9C115A7A34}" name="Anotacion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"/>
  <sheetViews>
    <sheetView tabSelected="1" workbookViewId="0">
      <pane ySplit="1" topLeftCell="A2" activePane="bottomLeft" state="frozen"/>
      <selection pane="bottomLeft" activeCell="U6" sqref="U6"/>
    </sheetView>
  </sheetViews>
  <sheetFormatPr baseColWidth="10" defaultColWidth="8.88671875" defaultRowHeight="14.4" x14ac:dyDescent="0.3"/>
  <cols>
    <col min="1" max="1" width="7" customWidth="1"/>
    <col min="2" max="2" width="16" customWidth="1"/>
    <col min="3" max="3" width="11.5546875" customWidth="1"/>
    <col min="4" max="4" width="28.88671875" customWidth="1"/>
    <col min="5" max="5" width="18" customWidth="1"/>
    <col min="6" max="6" width="28" customWidth="1"/>
    <col min="7" max="7" width="14.44140625" customWidth="1"/>
    <col min="8" max="8" width="10.109375" customWidth="1"/>
    <col min="9" max="9" width="12" customWidth="1"/>
    <col min="10" max="10" width="14" customWidth="1"/>
    <col min="11" max="11" width="12" customWidth="1"/>
    <col min="12" max="12" width="19.44140625" customWidth="1"/>
    <col min="13" max="13" width="20.77734375" customWidth="1"/>
    <col min="14" max="14" width="31.5546875" customWidth="1"/>
    <col min="15" max="17" width="11" customWidth="1"/>
    <col min="18" max="18" width="13.88671875" customWidth="1"/>
    <col min="19" max="19" width="14.6640625" customWidth="1"/>
    <col min="20" max="20" width="13" customWidth="1"/>
    <col min="21" max="21" width="40" customWidth="1"/>
  </cols>
  <sheetData>
    <row r="1" spans="1:25" ht="30" customHeight="1" x14ac:dyDescent="0.3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</row>
    <row r="2" spans="1:25" ht="18" customHeight="1" x14ac:dyDescent="0.3">
      <c r="A2" s="7">
        <v>701</v>
      </c>
      <c r="B2" s="8" t="s">
        <v>21</v>
      </c>
      <c r="C2" s="5" t="s">
        <v>22</v>
      </c>
      <c r="D2" s="16" t="s">
        <v>53</v>
      </c>
      <c r="E2" s="8" t="s">
        <v>58</v>
      </c>
      <c r="F2" s="8" t="s">
        <v>23</v>
      </c>
      <c r="G2" s="8"/>
      <c r="H2" s="8" t="s">
        <v>52</v>
      </c>
      <c r="I2" s="8"/>
      <c r="J2" s="8" t="s">
        <v>47</v>
      </c>
      <c r="K2" s="8"/>
      <c r="L2" s="8"/>
      <c r="M2" s="6" t="s">
        <v>24</v>
      </c>
      <c r="N2" s="8" t="s">
        <v>87</v>
      </c>
      <c r="O2" s="8">
        <v>280</v>
      </c>
      <c r="P2" s="8">
        <v>30</v>
      </c>
      <c r="Q2" s="8">
        <f>SUM(O2:P2)</f>
        <v>310</v>
      </c>
      <c r="R2" s="8">
        <v>1700</v>
      </c>
      <c r="S2" s="8">
        <v>2000</v>
      </c>
      <c r="T2" s="8" t="s">
        <v>50</v>
      </c>
      <c r="U2" s="8" t="s">
        <v>59</v>
      </c>
      <c r="V2" s="9"/>
      <c r="W2" s="9"/>
      <c r="X2" s="9"/>
      <c r="Y2" s="9"/>
    </row>
    <row r="3" spans="1:25" ht="18" customHeight="1" x14ac:dyDescent="0.3">
      <c r="A3" s="10">
        <v>702</v>
      </c>
      <c r="B3" s="11" t="s">
        <v>21</v>
      </c>
      <c r="C3" s="11">
        <v>5.69</v>
      </c>
      <c r="D3" s="17" t="s">
        <v>54</v>
      </c>
      <c r="E3" s="11" t="s">
        <v>57</v>
      </c>
      <c r="F3" s="11" t="s">
        <v>25</v>
      </c>
      <c r="G3" s="11" t="s">
        <v>56</v>
      </c>
      <c r="H3" s="11" t="s">
        <v>45</v>
      </c>
      <c r="I3" s="11" t="s">
        <v>55</v>
      </c>
      <c r="J3" s="8" t="s">
        <v>47</v>
      </c>
      <c r="K3" s="11"/>
      <c r="L3" s="11" t="s">
        <v>60</v>
      </c>
      <c r="M3" s="5" t="s">
        <v>26</v>
      </c>
      <c r="N3" s="8" t="s">
        <v>87</v>
      </c>
      <c r="O3" s="11">
        <v>53</v>
      </c>
      <c r="P3" s="11">
        <v>30</v>
      </c>
      <c r="Q3" s="8">
        <f t="shared" ref="Q3:Q13" si="0">SUM(O3:P3)</f>
        <v>83</v>
      </c>
      <c r="R3" s="11">
        <v>600</v>
      </c>
      <c r="S3" s="11">
        <v>750</v>
      </c>
      <c r="T3" s="11" t="s">
        <v>50</v>
      </c>
      <c r="U3" s="11"/>
      <c r="V3" s="9"/>
      <c r="W3" s="9"/>
      <c r="X3" s="9"/>
      <c r="Y3" s="9"/>
    </row>
    <row r="4" spans="1:25" ht="18" customHeight="1" x14ac:dyDescent="0.3">
      <c r="A4" s="7">
        <v>703</v>
      </c>
      <c r="B4" s="8" t="s">
        <v>21</v>
      </c>
      <c r="C4" s="8">
        <v>5.66</v>
      </c>
      <c r="D4" s="16" t="s">
        <v>62</v>
      </c>
      <c r="E4" s="8" t="s">
        <v>61</v>
      </c>
      <c r="F4" s="8" t="s">
        <v>27</v>
      </c>
      <c r="G4" s="8"/>
      <c r="H4" s="8" t="s">
        <v>52</v>
      </c>
      <c r="I4" s="8" t="s">
        <v>63</v>
      </c>
      <c r="J4" s="8"/>
      <c r="K4" s="8"/>
      <c r="L4" s="8" t="s">
        <v>64</v>
      </c>
      <c r="M4" s="6" t="s">
        <v>28</v>
      </c>
      <c r="N4" s="8" t="s">
        <v>65</v>
      </c>
      <c r="O4" s="8">
        <v>68</v>
      </c>
      <c r="P4" s="8">
        <v>20</v>
      </c>
      <c r="Q4" s="8">
        <f t="shared" si="0"/>
        <v>88</v>
      </c>
      <c r="R4" s="8">
        <v>150</v>
      </c>
      <c r="S4" s="8">
        <v>200</v>
      </c>
      <c r="T4" s="8" t="s">
        <v>50</v>
      </c>
      <c r="U4" s="8"/>
      <c r="V4" s="9"/>
      <c r="W4" s="9"/>
      <c r="X4" s="9"/>
      <c r="Y4" s="9"/>
    </row>
    <row r="5" spans="1:25" ht="18" customHeight="1" x14ac:dyDescent="0.3">
      <c r="A5" s="10">
        <v>704</v>
      </c>
      <c r="B5" s="11" t="s">
        <v>29</v>
      </c>
      <c r="C5" s="11">
        <v>3.62</v>
      </c>
      <c r="D5" s="17" t="s">
        <v>67</v>
      </c>
      <c r="E5" s="11" t="s">
        <v>66</v>
      </c>
      <c r="F5" s="11" t="s">
        <v>69</v>
      </c>
      <c r="G5" s="11" t="s">
        <v>68</v>
      </c>
      <c r="H5" s="11" t="s">
        <v>52</v>
      </c>
      <c r="I5" s="11" t="s">
        <v>70</v>
      </c>
      <c r="J5" s="11" t="s">
        <v>47</v>
      </c>
      <c r="K5" s="11"/>
      <c r="L5" s="11" t="s">
        <v>72</v>
      </c>
      <c r="M5" s="5" t="s">
        <v>30</v>
      </c>
      <c r="N5" s="11" t="s">
        <v>71</v>
      </c>
      <c r="O5" s="11">
        <v>54</v>
      </c>
      <c r="P5" s="11">
        <v>8</v>
      </c>
      <c r="Q5" s="8">
        <f t="shared" si="0"/>
        <v>62</v>
      </c>
      <c r="R5" s="11">
        <v>280</v>
      </c>
      <c r="S5" s="11">
        <v>350</v>
      </c>
      <c r="T5" s="11" t="s">
        <v>50</v>
      </c>
      <c r="U5" s="11"/>
      <c r="V5" s="9"/>
      <c r="W5" s="9"/>
      <c r="X5" s="9"/>
      <c r="Y5" s="9"/>
    </row>
    <row r="6" spans="1:25" ht="18" customHeight="1" x14ac:dyDescent="0.3">
      <c r="A6" s="7">
        <v>705</v>
      </c>
      <c r="B6" s="8" t="s">
        <v>31</v>
      </c>
      <c r="C6" s="8">
        <v>11.5</v>
      </c>
      <c r="D6" s="16" t="s">
        <v>74</v>
      </c>
      <c r="E6" s="8" t="s">
        <v>73</v>
      </c>
      <c r="F6" s="8" t="s">
        <v>32</v>
      </c>
      <c r="G6" s="8" t="s">
        <v>78</v>
      </c>
      <c r="H6" s="8" t="s">
        <v>45</v>
      </c>
      <c r="I6" s="8" t="s">
        <v>79</v>
      </c>
      <c r="J6" s="8" t="s">
        <v>47</v>
      </c>
      <c r="K6" s="8" t="s">
        <v>77</v>
      </c>
      <c r="L6" s="8" t="s">
        <v>76</v>
      </c>
      <c r="M6" s="6" t="s">
        <v>33</v>
      </c>
      <c r="N6" s="8" t="s">
        <v>75</v>
      </c>
      <c r="O6" s="8">
        <v>222</v>
      </c>
      <c r="P6" s="8">
        <v>50</v>
      </c>
      <c r="Q6" s="8">
        <f t="shared" si="0"/>
        <v>272</v>
      </c>
      <c r="R6" s="8">
        <v>2300</v>
      </c>
      <c r="S6" s="8">
        <v>2800</v>
      </c>
      <c r="T6" s="8" t="s">
        <v>50</v>
      </c>
      <c r="U6" s="8" t="s">
        <v>128</v>
      </c>
      <c r="V6" s="9"/>
      <c r="W6" s="9"/>
      <c r="X6" s="9"/>
      <c r="Y6" s="9"/>
    </row>
    <row r="7" spans="1:25" ht="18" customHeight="1" x14ac:dyDescent="0.3">
      <c r="A7" s="10">
        <v>706</v>
      </c>
      <c r="B7" s="11" t="s">
        <v>34</v>
      </c>
      <c r="C7" s="11">
        <v>30.76</v>
      </c>
      <c r="D7" s="17" t="s">
        <v>81</v>
      </c>
      <c r="E7" s="11" t="s">
        <v>80</v>
      </c>
      <c r="F7" s="11" t="s">
        <v>86</v>
      </c>
      <c r="G7" s="11" t="s">
        <v>83</v>
      </c>
      <c r="H7" s="11" t="s">
        <v>45</v>
      </c>
      <c r="I7" s="11" t="s">
        <v>82</v>
      </c>
      <c r="J7" s="11" t="s">
        <v>84</v>
      </c>
      <c r="K7" s="11"/>
      <c r="L7" s="11" t="s">
        <v>85</v>
      </c>
      <c r="M7" s="5" t="s">
        <v>35</v>
      </c>
      <c r="N7" s="8" t="s">
        <v>87</v>
      </c>
      <c r="O7" s="11">
        <v>107</v>
      </c>
      <c r="P7" s="11">
        <v>30</v>
      </c>
      <c r="Q7" s="8">
        <f t="shared" si="0"/>
        <v>137</v>
      </c>
      <c r="R7" s="11">
        <v>600</v>
      </c>
      <c r="S7" s="11">
        <v>750</v>
      </c>
      <c r="T7" s="11" t="s">
        <v>50</v>
      </c>
      <c r="U7" s="11" t="s">
        <v>85</v>
      </c>
      <c r="V7" s="9"/>
      <c r="W7" s="9"/>
      <c r="X7" s="9"/>
      <c r="Y7" s="9"/>
    </row>
    <row r="8" spans="1:25" ht="18" customHeight="1" x14ac:dyDescent="0.3">
      <c r="A8" s="7">
        <v>707</v>
      </c>
      <c r="B8" s="8" t="s">
        <v>36</v>
      </c>
      <c r="C8" s="8">
        <v>1.84</v>
      </c>
      <c r="D8" s="16" t="s">
        <v>90</v>
      </c>
      <c r="E8" s="8" t="s">
        <v>88</v>
      </c>
      <c r="F8" s="8" t="s">
        <v>91</v>
      </c>
      <c r="G8" s="8" t="s">
        <v>93</v>
      </c>
      <c r="H8" s="8" t="s">
        <v>45</v>
      </c>
      <c r="I8" s="8" t="s">
        <v>94</v>
      </c>
      <c r="J8" s="8"/>
      <c r="K8" s="8" t="s">
        <v>92</v>
      </c>
      <c r="L8" s="8" t="s">
        <v>89</v>
      </c>
      <c r="M8" s="6" t="s">
        <v>37</v>
      </c>
      <c r="N8" s="8" t="s">
        <v>95</v>
      </c>
      <c r="O8" s="8">
        <v>52</v>
      </c>
      <c r="P8" s="8">
        <v>11</v>
      </c>
      <c r="Q8" s="8">
        <f t="shared" si="0"/>
        <v>63</v>
      </c>
      <c r="R8" s="8">
        <v>600</v>
      </c>
      <c r="S8" s="8">
        <v>750</v>
      </c>
      <c r="T8" s="8" t="s">
        <v>50</v>
      </c>
      <c r="U8" s="8"/>
      <c r="V8" s="9"/>
      <c r="W8" s="9"/>
      <c r="X8" s="9"/>
      <c r="Y8" s="9"/>
    </row>
    <row r="9" spans="1:25" ht="18" customHeight="1" x14ac:dyDescent="0.3">
      <c r="A9" s="10">
        <v>708</v>
      </c>
      <c r="B9" s="11" t="s">
        <v>21</v>
      </c>
      <c r="C9" s="11">
        <v>8.5299999999999994</v>
      </c>
      <c r="D9" s="17" t="s">
        <v>97</v>
      </c>
      <c r="E9" s="11" t="s">
        <v>96</v>
      </c>
      <c r="F9" s="11" t="s">
        <v>98</v>
      </c>
      <c r="G9" s="11" t="s">
        <v>56</v>
      </c>
      <c r="H9" s="11" t="s">
        <v>45</v>
      </c>
      <c r="I9" s="11" t="s">
        <v>99</v>
      </c>
      <c r="J9" s="11"/>
      <c r="K9" s="11"/>
      <c r="L9" s="11" t="s">
        <v>100</v>
      </c>
      <c r="M9" s="5" t="s">
        <v>38</v>
      </c>
      <c r="N9" s="8" t="s">
        <v>87</v>
      </c>
      <c r="O9" s="11">
        <v>107</v>
      </c>
      <c r="P9" s="11">
        <v>30</v>
      </c>
      <c r="Q9" s="8">
        <f t="shared" si="0"/>
        <v>137</v>
      </c>
      <c r="R9" s="11">
        <v>1300</v>
      </c>
      <c r="S9" s="11">
        <v>1600</v>
      </c>
      <c r="T9" s="11" t="s">
        <v>50</v>
      </c>
      <c r="U9" s="11"/>
      <c r="V9" s="9"/>
      <c r="W9" s="9"/>
      <c r="X9" s="9"/>
      <c r="Y9" s="9"/>
    </row>
    <row r="10" spans="1:25" ht="18" customHeight="1" x14ac:dyDescent="0.3">
      <c r="A10" s="7">
        <v>709</v>
      </c>
      <c r="B10" s="8" t="s">
        <v>39</v>
      </c>
      <c r="C10" s="8">
        <v>84.16</v>
      </c>
      <c r="D10" s="16" t="s">
        <v>102</v>
      </c>
      <c r="E10" s="8" t="s">
        <v>101</v>
      </c>
      <c r="F10" s="8" t="s">
        <v>104</v>
      </c>
      <c r="G10" s="8" t="s">
        <v>106</v>
      </c>
      <c r="H10" s="8" t="s">
        <v>45</v>
      </c>
      <c r="I10" s="8" t="s">
        <v>103</v>
      </c>
      <c r="J10" s="8" t="s">
        <v>105</v>
      </c>
      <c r="K10" s="8"/>
      <c r="L10" s="8"/>
      <c r="M10" s="6" t="s">
        <v>40</v>
      </c>
      <c r="N10" s="8" t="s">
        <v>87</v>
      </c>
      <c r="O10" s="8">
        <v>101</v>
      </c>
      <c r="P10" s="8">
        <v>25</v>
      </c>
      <c r="Q10" s="8">
        <f t="shared" si="0"/>
        <v>126</v>
      </c>
      <c r="R10" s="8">
        <v>1800</v>
      </c>
      <c r="S10" s="8">
        <v>2200</v>
      </c>
      <c r="T10" s="8" t="s">
        <v>50</v>
      </c>
      <c r="U10" s="9"/>
      <c r="V10" s="9"/>
      <c r="W10" s="9"/>
      <c r="X10" s="9"/>
      <c r="Y10" s="9"/>
    </row>
    <row r="11" spans="1:25" ht="18" customHeight="1" x14ac:dyDescent="0.3">
      <c r="A11" s="10">
        <v>710</v>
      </c>
      <c r="B11" s="11" t="s">
        <v>39</v>
      </c>
      <c r="C11" s="11">
        <v>45.57</v>
      </c>
      <c r="D11" s="17" t="s">
        <v>108</v>
      </c>
      <c r="E11" s="11" t="s">
        <v>107</v>
      </c>
      <c r="F11" s="11" t="s">
        <v>110</v>
      </c>
      <c r="G11" s="8" t="s">
        <v>106</v>
      </c>
      <c r="H11" s="11" t="s">
        <v>45</v>
      </c>
      <c r="I11" s="11" t="s">
        <v>109</v>
      </c>
      <c r="J11" s="11"/>
      <c r="K11" s="11"/>
      <c r="L11" s="8" t="s">
        <v>111</v>
      </c>
      <c r="M11" s="5" t="s">
        <v>40</v>
      </c>
      <c r="N11" s="8" t="s">
        <v>87</v>
      </c>
      <c r="O11" s="11">
        <v>71</v>
      </c>
      <c r="P11" s="11">
        <v>25</v>
      </c>
      <c r="Q11" s="8">
        <f t="shared" si="0"/>
        <v>96</v>
      </c>
      <c r="R11" s="11">
        <v>900</v>
      </c>
      <c r="S11" s="11">
        <v>1050</v>
      </c>
      <c r="T11" s="11" t="s">
        <v>50</v>
      </c>
      <c r="U11" s="11"/>
      <c r="V11" s="9"/>
      <c r="W11" s="9"/>
      <c r="X11" s="9"/>
      <c r="Y11" s="9"/>
    </row>
    <row r="12" spans="1:25" ht="18" customHeight="1" x14ac:dyDescent="0.3">
      <c r="A12" s="7">
        <v>711</v>
      </c>
      <c r="B12" s="8" t="s">
        <v>41</v>
      </c>
      <c r="C12" s="8">
        <v>19.79</v>
      </c>
      <c r="D12" s="16" t="s">
        <v>42</v>
      </c>
      <c r="E12" s="8" t="s">
        <v>112</v>
      </c>
      <c r="F12" s="8" t="s">
        <v>43</v>
      </c>
      <c r="G12" s="8" t="s">
        <v>44</v>
      </c>
      <c r="H12" s="8" t="s">
        <v>45</v>
      </c>
      <c r="I12" s="8" t="s">
        <v>46</v>
      </c>
      <c r="J12" s="8" t="s">
        <v>47</v>
      </c>
      <c r="K12" s="8" t="s">
        <v>48</v>
      </c>
      <c r="L12" s="8" t="s">
        <v>113</v>
      </c>
      <c r="M12" s="6" t="s">
        <v>49</v>
      </c>
      <c r="N12" s="8" t="s">
        <v>115</v>
      </c>
      <c r="O12" s="8">
        <v>85</v>
      </c>
      <c r="P12" s="8">
        <v>52</v>
      </c>
      <c r="Q12" s="8">
        <f t="shared" si="0"/>
        <v>137</v>
      </c>
      <c r="R12" s="8">
        <v>400</v>
      </c>
      <c r="S12" s="8">
        <v>480</v>
      </c>
      <c r="T12" s="8" t="s">
        <v>50</v>
      </c>
      <c r="U12" s="8" t="s">
        <v>114</v>
      </c>
      <c r="V12" s="9"/>
      <c r="W12" s="9"/>
      <c r="X12" s="9"/>
      <c r="Y12" s="9"/>
    </row>
    <row r="13" spans="1:25" ht="18" customHeight="1" x14ac:dyDescent="0.3">
      <c r="A13" s="12">
        <v>712</v>
      </c>
      <c r="B13" s="13" t="s">
        <v>116</v>
      </c>
      <c r="C13" s="13">
        <v>4.7</v>
      </c>
      <c r="D13" s="18" t="s">
        <v>117</v>
      </c>
      <c r="E13" s="13" t="s">
        <v>118</v>
      </c>
      <c r="F13" s="13" t="s">
        <v>119</v>
      </c>
      <c r="G13" s="13" t="s">
        <v>56</v>
      </c>
      <c r="H13" s="13" t="s">
        <v>45</v>
      </c>
      <c r="I13" s="13" t="s">
        <v>94</v>
      </c>
      <c r="J13" s="13" t="s">
        <v>120</v>
      </c>
      <c r="K13" s="13"/>
      <c r="L13" s="13"/>
      <c r="M13" s="22">
        <v>46132</v>
      </c>
      <c r="N13" s="13" t="s">
        <v>95</v>
      </c>
      <c r="O13" s="13">
        <v>52</v>
      </c>
      <c r="P13" s="13">
        <v>11</v>
      </c>
      <c r="Q13" s="13">
        <f t="shared" si="0"/>
        <v>63</v>
      </c>
      <c r="R13" s="13">
        <v>350</v>
      </c>
      <c r="S13" s="13">
        <v>430</v>
      </c>
      <c r="T13" s="13" t="s">
        <v>50</v>
      </c>
      <c r="U13" s="13"/>
      <c r="V13" s="9"/>
      <c r="W13" s="9"/>
      <c r="X13" s="9"/>
      <c r="Y13" s="9"/>
    </row>
    <row r="14" spans="1:25" ht="19.95" customHeight="1" x14ac:dyDescent="0.3">
      <c r="A14" s="14">
        <v>713</v>
      </c>
      <c r="B14" s="15" t="s">
        <v>116</v>
      </c>
      <c r="C14" s="15">
        <v>26.57</v>
      </c>
      <c r="D14" s="19" t="s">
        <v>122</v>
      </c>
      <c r="E14" s="15" t="s">
        <v>123</v>
      </c>
      <c r="F14" s="15" t="s">
        <v>124</v>
      </c>
      <c r="G14" s="15"/>
      <c r="H14" s="15" t="s">
        <v>45</v>
      </c>
      <c r="I14" s="15" t="s">
        <v>46</v>
      </c>
      <c r="J14" s="15" t="s">
        <v>47</v>
      </c>
      <c r="K14" s="15" t="s">
        <v>125</v>
      </c>
      <c r="L14" s="15" t="s">
        <v>129</v>
      </c>
      <c r="M14" s="22">
        <v>46153</v>
      </c>
      <c r="N14" s="15" t="s">
        <v>126</v>
      </c>
      <c r="O14" s="15">
        <v>75</v>
      </c>
      <c r="P14" s="15">
        <v>51</v>
      </c>
      <c r="Q14" s="15">
        <f>SUM(O14:P14)</f>
        <v>126</v>
      </c>
      <c r="R14" s="15">
        <v>1100</v>
      </c>
      <c r="S14" s="15">
        <v>1400</v>
      </c>
      <c r="T14" s="15" t="s">
        <v>121</v>
      </c>
      <c r="U14" s="13" t="s">
        <v>127</v>
      </c>
      <c r="V14" s="9"/>
      <c r="W14" s="9"/>
      <c r="X14" s="9"/>
      <c r="Y14" s="9"/>
    </row>
    <row r="15" spans="1:25" x14ac:dyDescent="0.3">
      <c r="A15" s="1" t="s">
        <v>51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4">
        <f>SUM(O2:O14)</f>
        <v>1327</v>
      </c>
      <c r="P15" s="4">
        <f>SUM(P2:P14)</f>
        <v>373</v>
      </c>
      <c r="Q15" s="3">
        <f>SUM(O15:P15)</f>
        <v>1700</v>
      </c>
      <c r="R15" s="4">
        <f>SUM(R2:R14)</f>
        <v>12080</v>
      </c>
      <c r="S15" s="4">
        <f>SUM(S2:S14)</f>
        <v>14760</v>
      </c>
      <c r="T15" s="2"/>
      <c r="U15" s="2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Ángel</cp:lastModifiedBy>
  <dcterms:created xsi:type="dcterms:W3CDTF">2026-04-19T09:31:41Z</dcterms:created>
  <dcterms:modified xsi:type="dcterms:W3CDTF">2026-05-12T12:29:02Z</dcterms:modified>
</cp:coreProperties>
</file>