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GITHUB\coleccion-gemas\"/>
    </mc:Choice>
  </mc:AlternateContent>
  <xr:revisionPtr revIDLastSave="0" documentId="13_ncr:1_{DA1C7507-FEA9-4164-82A2-D24C3FC7D2D2}" xr6:coauthVersionLast="47" xr6:coauthVersionMax="47" xr10:uidLastSave="{00000000-0000-0000-0000-000000000000}"/>
  <bookViews>
    <workbookView xWindow="-108" yWindow="-108" windowWidth="30936" windowHeight="12576" xr2:uid="{00000000-000D-0000-FFFF-FFFF00000000}"/>
  </bookViews>
  <sheets>
    <sheet name="Gemas" sheetId="1" r:id="rId1"/>
  </sheets>
  <definedNames>
    <definedName name="_xlnm._FilterDatabase" localSheetId="0" hidden="1">Gemas!$A$1:$U$1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" l="1"/>
  <c r="R15" i="1"/>
  <c r="P15" i="1"/>
  <c r="O15" i="1"/>
  <c r="Q15" i="1" s="1"/>
  <c r="Q14" i="1"/>
  <c r="Q3" i="1"/>
  <c r="Q4" i="1"/>
  <c r="Q5" i="1"/>
  <c r="Q6" i="1"/>
  <c r="Q7" i="1"/>
  <c r="Q8" i="1"/>
  <c r="Q9" i="1"/>
  <c r="Q10" i="1"/>
  <c r="Q11" i="1"/>
  <c r="Q12" i="1"/>
  <c r="Q13" i="1"/>
  <c r="Q2" i="1"/>
</calcChain>
</file>

<file path=xl/sharedStrings.xml><?xml version="1.0" encoding="utf-8"?>
<sst xmlns="http://schemas.openxmlformats.org/spreadsheetml/2006/main" count="173" uniqueCount="133">
  <si>
    <t>SKU</t>
  </si>
  <si>
    <t>Gema</t>
  </si>
  <si>
    <t>Peso (ct)</t>
  </si>
  <si>
    <t>Dimensiones (mm)</t>
  </si>
  <si>
    <t>Certificado</t>
  </si>
  <si>
    <t>Color</t>
  </si>
  <si>
    <t>Tratamiento</t>
  </si>
  <si>
    <t>Sellado</t>
  </si>
  <si>
    <t>Forma</t>
  </si>
  <si>
    <t>Pureza</t>
  </si>
  <si>
    <t>Origen</t>
  </si>
  <si>
    <t>Notas</t>
  </si>
  <si>
    <t>Fecha de compra</t>
  </si>
  <si>
    <t>Vendedor</t>
  </si>
  <si>
    <t>Precio</t>
  </si>
  <si>
    <t>Portes</t>
  </si>
  <si>
    <t>Total</t>
  </si>
  <si>
    <t>Rango mín.</t>
  </si>
  <si>
    <t>Rango máx.</t>
  </si>
  <si>
    <t>Ubicación</t>
  </si>
  <si>
    <t>Anotaciones</t>
  </si>
  <si>
    <t>Aguamarina</t>
  </si>
  <si>
    <t>22.62</t>
  </si>
  <si>
    <t>Aguamarina azul pálido</t>
  </si>
  <si>
    <t>31/10/2025</t>
  </si>
  <si>
    <t>5,69</t>
  </si>
  <si>
    <t>Aguamarina azul</t>
  </si>
  <si>
    <t>07/11/2025</t>
  </si>
  <si>
    <t>5,66</t>
  </si>
  <si>
    <t>Azul</t>
  </si>
  <si>
    <t>12/11/2025</t>
  </si>
  <si>
    <t>Turmalina</t>
  </si>
  <si>
    <t>3,62</t>
  </si>
  <si>
    <t>13/11/2025</t>
  </si>
  <si>
    <t>Tanzanita</t>
  </si>
  <si>
    <t>11,50</t>
  </si>
  <si>
    <t>Azul violáceo</t>
  </si>
  <si>
    <t>21/11/2025</t>
  </si>
  <si>
    <t>Topacio</t>
  </si>
  <si>
    <t>30,76</t>
  </si>
  <si>
    <t>24/11/2025</t>
  </si>
  <si>
    <t>Esmeralda</t>
  </si>
  <si>
    <t>1,84</t>
  </si>
  <si>
    <t>05/12/2025</t>
  </si>
  <si>
    <t>8,53</t>
  </si>
  <si>
    <t>19/12/2025</t>
  </si>
  <si>
    <t>Citrino</t>
  </si>
  <si>
    <t>84,16</t>
  </si>
  <si>
    <t>03/01/2026</t>
  </si>
  <si>
    <t>45,57</t>
  </si>
  <si>
    <t>Topacio natural</t>
  </si>
  <si>
    <t>19,79</t>
  </si>
  <si>
    <t>18,71 x 13,55 x 10,03</t>
  </si>
  <si>
    <t>Topacio azul bien cortado</t>
  </si>
  <si>
    <t>Irradiado</t>
  </si>
  <si>
    <t>No</t>
  </si>
  <si>
    <t>Oval</t>
  </si>
  <si>
    <t>Limpio al ojo</t>
  </si>
  <si>
    <t>África</t>
  </si>
  <si>
    <t>10/01/2026</t>
  </si>
  <si>
    <t>Casa</t>
  </si>
  <si>
    <t>TOTAL</t>
  </si>
  <si>
    <t>Sí</t>
  </si>
  <si>
    <t>21,26 x 12,48 x 10,72</t>
  </si>
  <si>
    <t>12,34 x 10,28 x 6,19</t>
  </si>
  <si>
    <t>Octágono</t>
  </si>
  <si>
    <t>Aplicación de calor sin evidencias de tratamiento</t>
  </si>
  <si>
    <t>ALGT-88147960</t>
  </si>
  <si>
    <t>ALGT-67105313</t>
  </si>
  <si>
    <t>IGE-D-61879 - Tasación: 900 €</t>
  </si>
  <si>
    <t>Talla escalonada-Corte excelente</t>
  </si>
  <si>
    <t>IGE-D58120</t>
  </si>
  <si>
    <t>12,13 x 8,37 x 4,88 - 10,26 x 8,48 x 5,00</t>
  </si>
  <si>
    <t>Cojín, pera</t>
  </si>
  <si>
    <t>2 gemas - Talla facetada</t>
  </si>
  <si>
    <t>Catawiki-Virnatto</t>
  </si>
  <si>
    <t>IGE-D53909</t>
  </si>
  <si>
    <t>8,10 x 6,14 x 4,15 - 8,09 x 6,16 x 3,87</t>
  </si>
  <si>
    <t>Sin evidencias</t>
  </si>
  <si>
    <t>Verde vítreo</t>
  </si>
  <si>
    <t>Rectángulo, esmeralda</t>
  </si>
  <si>
    <t>Catawiki-Facet Hall</t>
  </si>
  <si>
    <t>Talla esmeralda</t>
  </si>
  <si>
    <t>Bellerophon Gemlab-B48260</t>
  </si>
  <si>
    <t>15,72 x 12x24 x 6x42</t>
  </si>
  <si>
    <t>Catawiki-NoReserveAuctions</t>
  </si>
  <si>
    <t>Zoisite natural</t>
  </si>
  <si>
    <t>Tanzania</t>
  </si>
  <si>
    <t>Calentado suavemente</t>
  </si>
  <si>
    <t xml:space="preserve">Octogonal </t>
  </si>
  <si>
    <t>Sin fluorescencia</t>
  </si>
  <si>
    <t>ALGT-92444619</t>
  </si>
  <si>
    <t>19,39 x 15,77 x 11,49</t>
  </si>
  <si>
    <t>Cojín</t>
  </si>
  <si>
    <t>No se especifica</t>
  </si>
  <si>
    <t>Inclusiones leves</t>
  </si>
  <si>
    <t>Corte muy bien</t>
  </si>
  <si>
    <t>Topacio azul intenso/vivo. Azul Suiza</t>
  </si>
  <si>
    <t xml:space="preserve">Catawiki-Khadija Gemstones </t>
  </si>
  <si>
    <t>IGE-D59605</t>
  </si>
  <si>
    <t>3 piedras</t>
  </si>
  <si>
    <t>5,96 x 4,06 x 3,40 - 6,33 x 4,16 x 3,35 - 5,98 x 4,04 x 3,03</t>
  </si>
  <si>
    <t>Verde azulado</t>
  </si>
  <si>
    <t>Zambia</t>
  </si>
  <si>
    <t>F1 Aceite menor</t>
  </si>
  <si>
    <t>Rectangular esmeralda</t>
  </si>
  <si>
    <t>Catawiki-Joseandréshurtadomelero</t>
  </si>
  <si>
    <t>ALGT-63963036</t>
  </si>
  <si>
    <t>16,53 x 8,52 x 7,16</t>
  </si>
  <si>
    <t>Azul muy claro</t>
  </si>
  <si>
    <t>Corte octogonal modificado</t>
  </si>
  <si>
    <t>Forma y corte corte escalonado octogonal modificado</t>
  </si>
  <si>
    <t>ALGT-21535690</t>
  </si>
  <si>
    <t>30,46 x 25x68 x 16,51</t>
  </si>
  <si>
    <t>Corte ovalado tallado</t>
  </si>
  <si>
    <t>Amarillo ámbar</t>
  </si>
  <si>
    <t>Casi limpio a la vista</t>
  </si>
  <si>
    <t>Calentamiento habitual, no consta</t>
  </si>
  <si>
    <t>ALGT-24135170</t>
  </si>
  <si>
    <t>24,40 x 21,20 x 15,75</t>
  </si>
  <si>
    <t>Corte mixto de cojín</t>
  </si>
  <si>
    <t>Amarillo anaranjado claro (desigual)</t>
  </si>
  <si>
    <t>Color amarillo citrino con un tono anaranjado claro.</t>
  </si>
  <si>
    <t>ICA-TH25G119082</t>
  </si>
  <si>
    <t>Corte excelente. Perfectly cut topaz #118</t>
  </si>
  <si>
    <t>Talla facetada</t>
  </si>
  <si>
    <t>Catawiki-NR Only Auctions</t>
  </si>
  <si>
    <t>Kunzita</t>
  </si>
  <si>
    <t>10,68 x 7,71 x 6,87</t>
  </si>
  <si>
    <t>IGE-D65102</t>
  </si>
  <si>
    <t>Rosa purpúreo</t>
  </si>
  <si>
    <t>Transparente</t>
  </si>
  <si>
    <t>Por llegar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</si>
</sst>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entury Gothic"/>
    </font>
    <font>
      <sz val="10"/>
      <name val="Century Gothic"/>
    </font>
    <font>
      <b/>
      <sz val="10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D9E1EA"/>
      </patternFill>
    </fill>
    <fill>
      <patternFill patternType="solid">
        <fgColor rgb="FFF0F4F8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3" fontId="3" fillId="5" borderId="1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right" vertical="center"/>
    </xf>
    <xf numFmtId="0" fontId="2" fillId="3" borderId="6" xfId="0" applyFont="1" applyFill="1" applyBorder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3" fontId="2" fillId="3" borderId="6" xfId="0" applyNumberFormat="1" applyFont="1" applyFill="1" applyBorder="1" applyAlignment="1">
      <alignment horizontal="right" vertical="center"/>
    </xf>
    <xf numFmtId="3" fontId="0" fillId="5" borderId="1" xfId="0" applyNumberFormat="1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entury Gothic"/>
        <scheme val="none"/>
      </font>
      <fill>
        <patternFill patternType="solid">
          <fgColor indexed="64"/>
          <bgColor rgb="FF2E405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rgb="FFF0F4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rgb="FFF0F4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rgb="FFF0F4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rgb="FFF0F4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rgb="FFF0F4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solid">
          <fgColor indexed="64"/>
          <bgColor rgb="FFF0F4F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top style="thin">
          <color rgb="FFCCCCCC"/>
        </top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61563-8C81-40BB-B1FB-E195B39FE187}" name="Tabla1" displayName="Tabla1" ref="A1:U14" totalsRowShown="0" headerRowDxfId="0" dataDxfId="1" headerRowBorderDxfId="21" tableBorderDxfId="22">
  <autoFilter ref="A1:U14" xr:uid="{DBC61563-8C81-40BB-B1FB-E195B39FE187}"/>
  <tableColumns count="21">
    <tableColumn id="1" xr3:uid="{16740106-C1FE-4A93-B016-8D68E510D83F}" name="SKU" dataDxfId="20"/>
    <tableColumn id="2" xr3:uid="{09A192B8-EAAF-4898-B7A3-F90504B18A79}" name="Gema" dataDxfId="19"/>
    <tableColumn id="3" xr3:uid="{BA1F56EB-D3BE-4716-9DEF-47D31BC9DD3E}" name="Peso (ct)" dataDxfId="18"/>
    <tableColumn id="4" xr3:uid="{E39BC5CE-832F-44BE-A092-CEFC64B086AB}" name="Dimensiones (mm)" dataDxfId="17"/>
    <tableColumn id="5" xr3:uid="{7734DC0C-F613-46CA-A9FD-D261BFBAF1B7}" name="Certificado" dataDxfId="16"/>
    <tableColumn id="6" xr3:uid="{6ED00A05-643C-414D-9C50-3D8AAFBE7960}" name="Color" dataDxfId="15"/>
    <tableColumn id="7" xr3:uid="{127D106F-9E1F-4BD6-B9DD-8C3E3AFDFFB9}" name="Tratamiento" dataDxfId="14"/>
    <tableColumn id="8" xr3:uid="{C398D847-DE8F-4738-95D7-8E61F35A17CA}" name="Sellado" dataDxfId="13"/>
    <tableColumn id="9" xr3:uid="{A3BEE832-9FB0-4317-8A1A-A5FCB3F946EA}" name="Forma" dataDxfId="12"/>
    <tableColumn id="10" xr3:uid="{9BEB215A-8BFC-471C-8E6A-FA8981A7D210}" name="Pureza" dataDxfId="11"/>
    <tableColumn id="11" xr3:uid="{2A3B33DB-A068-4A02-8E78-A27DAB77D921}" name="Origen" dataDxfId="10"/>
    <tableColumn id="12" xr3:uid="{EFD16298-68B4-4A15-AD98-04ED7C2D4E89}" name="Notas" dataDxfId="9"/>
    <tableColumn id="13" xr3:uid="{8C6CBABC-AEE1-40B4-98BD-0BD9BBF2C7BD}" name="Fecha de compra"/>
    <tableColumn id="14" xr3:uid="{6371D893-C2F0-4442-93DB-9230BCDDA4C1}" name="Vendedor" dataDxfId="8"/>
    <tableColumn id="15" xr3:uid="{1717A4CA-E348-4F86-B897-57D4D3CDF3F6}" name="Precio" dataDxfId="7"/>
    <tableColumn id="16" xr3:uid="{C4EE19D8-88C6-41C7-9AE5-A93E96F58D68}" name="Portes" dataDxfId="6"/>
    <tableColumn id="17" xr3:uid="{6DA5F09A-D9D0-4E7C-810E-FF17F36D3928}" name="Total" dataDxfId="5">
      <calculatedColumnFormula>SUM(O2:P2)</calculatedColumnFormula>
    </tableColumn>
    <tableColumn id="18" xr3:uid="{144C130E-8431-48D5-862B-666CFE041738}" name="Rango mín." dataDxfId="4"/>
    <tableColumn id="19" xr3:uid="{B7BC2C68-0B35-4C8D-9733-B57C69D4789A}" name="Rango máx." dataDxfId="3"/>
    <tableColumn id="20" xr3:uid="{1FA8A140-6776-4681-A6D8-0A13D4EDCDF4}" name="Ubicación" dataDxfId="2"/>
    <tableColumn id="21" xr3:uid="{4F690BC3-8B45-4F23-A387-5522490E6EB0}" name="Anotacion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pane ySplit="1" topLeftCell="A2" activePane="bottomLeft" state="frozen"/>
      <selection pane="bottomLeft" activeCell="A14" sqref="A14"/>
    </sheetView>
  </sheetViews>
  <sheetFormatPr baseColWidth="10" defaultColWidth="8.88671875" defaultRowHeight="14.4" x14ac:dyDescent="0.3"/>
  <cols>
    <col min="1" max="1" width="7" customWidth="1"/>
    <col min="2" max="2" width="16" customWidth="1"/>
    <col min="3" max="3" width="11.5546875" customWidth="1"/>
    <col min="4" max="4" width="21.21875" customWidth="1"/>
    <col min="5" max="5" width="18" customWidth="1"/>
    <col min="6" max="6" width="28" customWidth="1"/>
    <col min="7" max="7" width="14.44140625" customWidth="1"/>
    <col min="8" max="8" width="10.109375" customWidth="1"/>
    <col min="9" max="9" width="12" customWidth="1"/>
    <col min="10" max="10" width="14" customWidth="1"/>
    <col min="11" max="11" width="12" customWidth="1"/>
    <col min="12" max="12" width="19.44140625" customWidth="1"/>
    <col min="13" max="13" width="20.77734375" customWidth="1"/>
    <col min="14" max="14" width="31.5546875" customWidth="1"/>
    <col min="15" max="17" width="11" customWidth="1"/>
    <col min="18" max="18" width="13.88671875" customWidth="1"/>
    <col min="19" max="19" width="14.6640625" customWidth="1"/>
    <col min="20" max="20" width="13" customWidth="1"/>
    <col min="21" max="21" width="40" customWidth="1"/>
  </cols>
  <sheetData>
    <row r="1" spans="1:21" ht="30" customHeigh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ht="18" customHeight="1" x14ac:dyDescent="0.3">
      <c r="A2" s="12">
        <v>701</v>
      </c>
      <c r="B2" s="2" t="s">
        <v>21</v>
      </c>
      <c r="C2" s="3" t="s">
        <v>22</v>
      </c>
      <c r="D2" s="3" t="s">
        <v>63</v>
      </c>
      <c r="E2" s="2" t="s">
        <v>68</v>
      </c>
      <c r="F2" s="2" t="s">
        <v>23</v>
      </c>
      <c r="G2" s="2"/>
      <c r="H2" s="1" t="s">
        <v>62</v>
      </c>
      <c r="I2" s="2"/>
      <c r="J2" s="2" t="s">
        <v>57</v>
      </c>
      <c r="K2" s="2"/>
      <c r="L2" s="2"/>
      <c r="M2" s="1" t="s">
        <v>24</v>
      </c>
      <c r="N2" s="2" t="s">
        <v>98</v>
      </c>
      <c r="O2" s="4">
        <v>280</v>
      </c>
      <c r="P2" s="4">
        <v>30</v>
      </c>
      <c r="Q2" s="4">
        <f>SUM(O2:P2)</f>
        <v>310</v>
      </c>
      <c r="R2" s="4">
        <v>1700</v>
      </c>
      <c r="S2" s="4">
        <v>2000</v>
      </c>
      <c r="T2" s="2" t="s">
        <v>60</v>
      </c>
      <c r="U2" s="2" t="s">
        <v>69</v>
      </c>
    </row>
    <row r="3" spans="1:21" ht="18" customHeight="1" x14ac:dyDescent="0.3">
      <c r="A3" s="13">
        <v>702</v>
      </c>
      <c r="B3" s="6" t="s">
        <v>21</v>
      </c>
      <c r="C3" s="7" t="s">
        <v>25</v>
      </c>
      <c r="D3" s="7" t="s">
        <v>64</v>
      </c>
      <c r="E3" s="6" t="s">
        <v>67</v>
      </c>
      <c r="F3" s="6" t="s">
        <v>26</v>
      </c>
      <c r="G3" s="6" t="s">
        <v>66</v>
      </c>
      <c r="H3" s="5" t="s">
        <v>55</v>
      </c>
      <c r="I3" s="6" t="s">
        <v>65</v>
      </c>
      <c r="J3" s="2" t="s">
        <v>57</v>
      </c>
      <c r="K3" s="6"/>
      <c r="L3" s="6" t="s">
        <v>70</v>
      </c>
      <c r="M3" s="5" t="s">
        <v>27</v>
      </c>
      <c r="N3" s="2" t="s">
        <v>98</v>
      </c>
      <c r="O3" s="8">
        <v>53</v>
      </c>
      <c r="P3" s="8">
        <v>30</v>
      </c>
      <c r="Q3" s="4">
        <f t="shared" ref="Q3:Q13" si="0">SUM(O3:P3)</f>
        <v>83</v>
      </c>
      <c r="R3" s="8">
        <v>600</v>
      </c>
      <c r="S3" s="8">
        <v>750</v>
      </c>
      <c r="T3" s="6" t="s">
        <v>60</v>
      </c>
      <c r="U3" s="6"/>
    </row>
    <row r="4" spans="1:21" ht="18" customHeight="1" x14ac:dyDescent="0.3">
      <c r="A4" s="12">
        <v>703</v>
      </c>
      <c r="B4" s="2" t="s">
        <v>21</v>
      </c>
      <c r="C4" s="3" t="s">
        <v>28</v>
      </c>
      <c r="D4" s="3" t="s">
        <v>72</v>
      </c>
      <c r="E4" s="2" t="s">
        <v>71</v>
      </c>
      <c r="F4" s="2" t="s">
        <v>29</v>
      </c>
      <c r="G4" s="2"/>
      <c r="H4" s="1" t="s">
        <v>62</v>
      </c>
      <c r="I4" s="2" t="s">
        <v>73</v>
      </c>
      <c r="J4" s="2"/>
      <c r="K4" s="2"/>
      <c r="L4" s="2" t="s">
        <v>74</v>
      </c>
      <c r="M4" s="1" t="s">
        <v>30</v>
      </c>
      <c r="N4" s="2" t="s">
        <v>75</v>
      </c>
      <c r="O4" s="4">
        <v>68</v>
      </c>
      <c r="P4" s="4">
        <v>20</v>
      </c>
      <c r="Q4" s="4">
        <f t="shared" si="0"/>
        <v>88</v>
      </c>
      <c r="R4" s="4">
        <v>150</v>
      </c>
      <c r="S4" s="4">
        <v>200</v>
      </c>
      <c r="T4" s="2" t="s">
        <v>60</v>
      </c>
      <c r="U4" s="2"/>
    </row>
    <row r="5" spans="1:21" ht="18" customHeight="1" x14ac:dyDescent="0.3">
      <c r="A5" s="13">
        <v>704</v>
      </c>
      <c r="B5" s="6" t="s">
        <v>31</v>
      </c>
      <c r="C5" s="7" t="s">
        <v>32</v>
      </c>
      <c r="D5" s="7" t="s">
        <v>77</v>
      </c>
      <c r="E5" s="6" t="s">
        <v>76</v>
      </c>
      <c r="F5" s="6" t="s">
        <v>79</v>
      </c>
      <c r="G5" s="6" t="s">
        <v>78</v>
      </c>
      <c r="H5" s="5" t="s">
        <v>62</v>
      </c>
      <c r="I5" s="6" t="s">
        <v>80</v>
      </c>
      <c r="J5" s="6" t="s">
        <v>57</v>
      </c>
      <c r="K5" s="6"/>
      <c r="L5" s="6" t="s">
        <v>82</v>
      </c>
      <c r="M5" s="5" t="s">
        <v>33</v>
      </c>
      <c r="N5" s="6" t="s">
        <v>81</v>
      </c>
      <c r="O5" s="8">
        <v>54</v>
      </c>
      <c r="P5" s="8">
        <v>8</v>
      </c>
      <c r="Q5" s="4">
        <f t="shared" si="0"/>
        <v>62</v>
      </c>
      <c r="R5" s="8">
        <v>280</v>
      </c>
      <c r="S5" s="8">
        <v>350</v>
      </c>
      <c r="T5" s="6" t="s">
        <v>60</v>
      </c>
      <c r="U5" s="6"/>
    </row>
    <row r="6" spans="1:21" ht="18" customHeight="1" x14ac:dyDescent="0.3">
      <c r="A6" s="12">
        <v>705</v>
      </c>
      <c r="B6" s="2" t="s">
        <v>34</v>
      </c>
      <c r="C6" s="3" t="s">
        <v>35</v>
      </c>
      <c r="D6" s="3" t="s">
        <v>84</v>
      </c>
      <c r="E6" s="2" t="s">
        <v>83</v>
      </c>
      <c r="F6" s="2" t="s">
        <v>36</v>
      </c>
      <c r="G6" s="2" t="s">
        <v>88</v>
      </c>
      <c r="H6" s="1" t="s">
        <v>55</v>
      </c>
      <c r="I6" s="2" t="s">
        <v>89</v>
      </c>
      <c r="J6" s="2" t="s">
        <v>57</v>
      </c>
      <c r="K6" s="2" t="s">
        <v>87</v>
      </c>
      <c r="L6" s="2" t="s">
        <v>86</v>
      </c>
      <c r="M6" s="1" t="s">
        <v>37</v>
      </c>
      <c r="N6" s="2" t="s">
        <v>85</v>
      </c>
      <c r="O6" s="4">
        <v>222</v>
      </c>
      <c r="P6" s="4">
        <v>50</v>
      </c>
      <c r="Q6" s="4">
        <f t="shared" si="0"/>
        <v>272</v>
      </c>
      <c r="R6" s="4">
        <v>2300</v>
      </c>
      <c r="S6" s="4">
        <v>2800</v>
      </c>
      <c r="T6" s="2" t="s">
        <v>60</v>
      </c>
      <c r="U6" s="2" t="s">
        <v>90</v>
      </c>
    </row>
    <row r="7" spans="1:21" ht="18" customHeight="1" x14ac:dyDescent="0.3">
      <c r="A7" s="13">
        <v>706</v>
      </c>
      <c r="B7" s="6" t="s">
        <v>38</v>
      </c>
      <c r="C7" s="7" t="s">
        <v>39</v>
      </c>
      <c r="D7" s="7" t="s">
        <v>92</v>
      </c>
      <c r="E7" s="6" t="s">
        <v>91</v>
      </c>
      <c r="F7" s="6" t="s">
        <v>97</v>
      </c>
      <c r="G7" s="6" t="s">
        <v>94</v>
      </c>
      <c r="H7" s="5" t="s">
        <v>55</v>
      </c>
      <c r="I7" s="6" t="s">
        <v>93</v>
      </c>
      <c r="J7" s="6" t="s">
        <v>95</v>
      </c>
      <c r="K7" s="6"/>
      <c r="L7" s="6" t="s">
        <v>96</v>
      </c>
      <c r="M7" s="5" t="s">
        <v>40</v>
      </c>
      <c r="N7" s="2" t="s">
        <v>98</v>
      </c>
      <c r="O7" s="8">
        <v>107</v>
      </c>
      <c r="P7" s="8">
        <v>30</v>
      </c>
      <c r="Q7" s="4">
        <f t="shared" si="0"/>
        <v>137</v>
      </c>
      <c r="R7" s="8">
        <v>600</v>
      </c>
      <c r="S7" s="8">
        <v>750</v>
      </c>
      <c r="T7" s="6" t="s">
        <v>60</v>
      </c>
      <c r="U7" s="6" t="s">
        <v>96</v>
      </c>
    </row>
    <row r="8" spans="1:21" ht="18" customHeight="1" x14ac:dyDescent="0.3">
      <c r="A8" s="12">
        <v>707</v>
      </c>
      <c r="B8" s="2" t="s">
        <v>41</v>
      </c>
      <c r="C8" s="3" t="s">
        <v>42</v>
      </c>
      <c r="D8" s="3" t="s">
        <v>101</v>
      </c>
      <c r="E8" s="2" t="s">
        <v>99</v>
      </c>
      <c r="F8" s="2" t="s">
        <v>102</v>
      </c>
      <c r="G8" s="2" t="s">
        <v>104</v>
      </c>
      <c r="H8" s="1" t="s">
        <v>55</v>
      </c>
      <c r="I8" s="2" t="s">
        <v>105</v>
      </c>
      <c r="J8" s="2"/>
      <c r="K8" s="2" t="s">
        <v>103</v>
      </c>
      <c r="L8" s="2" t="s">
        <v>100</v>
      </c>
      <c r="M8" s="1" t="s">
        <v>43</v>
      </c>
      <c r="N8" s="2" t="s">
        <v>106</v>
      </c>
      <c r="O8" s="4">
        <v>52</v>
      </c>
      <c r="P8" s="4">
        <v>11</v>
      </c>
      <c r="Q8" s="4">
        <f t="shared" si="0"/>
        <v>63</v>
      </c>
      <c r="R8" s="4">
        <v>600</v>
      </c>
      <c r="S8" s="4">
        <v>750</v>
      </c>
      <c r="T8" s="2" t="s">
        <v>60</v>
      </c>
      <c r="U8" s="2"/>
    </row>
    <row r="9" spans="1:21" ht="18" customHeight="1" x14ac:dyDescent="0.3">
      <c r="A9" s="13">
        <v>708</v>
      </c>
      <c r="B9" s="6" t="s">
        <v>21</v>
      </c>
      <c r="C9" s="7" t="s">
        <v>44</v>
      </c>
      <c r="D9" s="7" t="s">
        <v>108</v>
      </c>
      <c r="E9" s="6" t="s">
        <v>107</v>
      </c>
      <c r="F9" s="6" t="s">
        <v>109</v>
      </c>
      <c r="G9" s="6" t="s">
        <v>66</v>
      </c>
      <c r="H9" s="5" t="s">
        <v>55</v>
      </c>
      <c r="I9" s="6" t="s">
        <v>110</v>
      </c>
      <c r="J9" s="6"/>
      <c r="K9" s="6"/>
      <c r="L9" s="6" t="s">
        <v>111</v>
      </c>
      <c r="M9" s="5" t="s">
        <v>45</v>
      </c>
      <c r="N9" s="2" t="s">
        <v>98</v>
      </c>
      <c r="O9" s="8">
        <v>107</v>
      </c>
      <c r="P9" s="8">
        <v>30</v>
      </c>
      <c r="Q9" s="4">
        <f t="shared" si="0"/>
        <v>137</v>
      </c>
      <c r="R9" s="8">
        <v>1300</v>
      </c>
      <c r="S9" s="8">
        <v>1600</v>
      </c>
      <c r="T9" s="6" t="s">
        <v>60</v>
      </c>
      <c r="U9" s="6"/>
    </row>
    <row r="10" spans="1:21" ht="18" customHeight="1" x14ac:dyDescent="0.3">
      <c r="A10" s="12">
        <v>709</v>
      </c>
      <c r="B10" s="2" t="s">
        <v>46</v>
      </c>
      <c r="C10" s="3" t="s">
        <v>47</v>
      </c>
      <c r="D10" s="3" t="s">
        <v>113</v>
      </c>
      <c r="E10" s="2" t="s">
        <v>112</v>
      </c>
      <c r="F10" s="2" t="s">
        <v>115</v>
      </c>
      <c r="G10" s="2" t="s">
        <v>117</v>
      </c>
      <c r="H10" s="1" t="s">
        <v>55</v>
      </c>
      <c r="I10" s="2" t="s">
        <v>114</v>
      </c>
      <c r="J10" s="2" t="s">
        <v>116</v>
      </c>
      <c r="K10" s="2"/>
      <c r="L10" s="2"/>
      <c r="M10" s="1" t="s">
        <v>48</v>
      </c>
      <c r="N10" s="2" t="s">
        <v>98</v>
      </c>
      <c r="O10" s="4">
        <v>101</v>
      </c>
      <c r="P10" s="4">
        <v>25</v>
      </c>
      <c r="Q10" s="4">
        <f t="shared" si="0"/>
        <v>126</v>
      </c>
      <c r="R10" s="4">
        <v>1800</v>
      </c>
      <c r="S10" s="4">
        <v>2200</v>
      </c>
      <c r="T10" s="2" t="s">
        <v>60</v>
      </c>
    </row>
    <row r="11" spans="1:21" ht="18" customHeight="1" x14ac:dyDescent="0.3">
      <c r="A11" s="13">
        <v>710</v>
      </c>
      <c r="B11" s="6" t="s">
        <v>46</v>
      </c>
      <c r="C11" s="7" t="s">
        <v>49</v>
      </c>
      <c r="D11" s="7" t="s">
        <v>119</v>
      </c>
      <c r="E11" s="6" t="s">
        <v>118</v>
      </c>
      <c r="F11" s="6" t="s">
        <v>121</v>
      </c>
      <c r="G11" s="2" t="s">
        <v>117</v>
      </c>
      <c r="H11" s="5" t="s">
        <v>55</v>
      </c>
      <c r="I11" s="6" t="s">
        <v>120</v>
      </c>
      <c r="J11" s="6"/>
      <c r="K11" s="6"/>
      <c r="L11" s="2" t="s">
        <v>122</v>
      </c>
      <c r="M11" s="5" t="s">
        <v>48</v>
      </c>
      <c r="N11" s="2" t="s">
        <v>98</v>
      </c>
      <c r="O11" s="8">
        <v>71</v>
      </c>
      <c r="P11" s="8">
        <v>25</v>
      </c>
      <c r="Q11" s="4">
        <f t="shared" si="0"/>
        <v>96</v>
      </c>
      <c r="R11" s="8">
        <v>900</v>
      </c>
      <c r="S11" s="8">
        <v>1050</v>
      </c>
      <c r="T11" s="6" t="s">
        <v>60</v>
      </c>
      <c r="U11" s="6"/>
    </row>
    <row r="12" spans="1:21" ht="18" customHeight="1" x14ac:dyDescent="0.3">
      <c r="A12" s="12">
        <v>711</v>
      </c>
      <c r="B12" s="2" t="s">
        <v>50</v>
      </c>
      <c r="C12" s="3" t="s">
        <v>51</v>
      </c>
      <c r="D12" s="3" t="s">
        <v>52</v>
      </c>
      <c r="E12" s="2" t="s">
        <v>123</v>
      </c>
      <c r="F12" s="2" t="s">
        <v>53</v>
      </c>
      <c r="G12" s="2" t="s">
        <v>54</v>
      </c>
      <c r="H12" s="1" t="s">
        <v>55</v>
      </c>
      <c r="I12" s="2" t="s">
        <v>56</v>
      </c>
      <c r="J12" s="2" t="s">
        <v>57</v>
      </c>
      <c r="K12" s="2" t="s">
        <v>58</v>
      </c>
      <c r="L12" s="2" t="s">
        <v>124</v>
      </c>
      <c r="M12" s="1" t="s">
        <v>59</v>
      </c>
      <c r="N12" s="2" t="s">
        <v>126</v>
      </c>
      <c r="O12" s="4">
        <v>85</v>
      </c>
      <c r="P12" s="4">
        <v>52</v>
      </c>
      <c r="Q12" s="4">
        <f t="shared" si="0"/>
        <v>137</v>
      </c>
      <c r="R12" s="4">
        <v>400</v>
      </c>
      <c r="S12" s="4">
        <v>480</v>
      </c>
      <c r="T12" s="2" t="s">
        <v>60</v>
      </c>
      <c r="U12" s="2" t="s">
        <v>125</v>
      </c>
    </row>
    <row r="13" spans="1:21" ht="18" customHeight="1" x14ac:dyDescent="0.3">
      <c r="A13" s="16">
        <v>712</v>
      </c>
      <c r="B13" s="17" t="s">
        <v>127</v>
      </c>
      <c r="C13" s="18">
        <v>4.7</v>
      </c>
      <c r="D13" s="18" t="s">
        <v>128</v>
      </c>
      <c r="E13" s="17" t="s">
        <v>129</v>
      </c>
      <c r="F13" s="17" t="s">
        <v>130</v>
      </c>
      <c r="G13" s="17" t="s">
        <v>66</v>
      </c>
      <c r="H13" s="19" t="s">
        <v>55</v>
      </c>
      <c r="I13" s="17" t="s">
        <v>105</v>
      </c>
      <c r="J13" s="17" t="s">
        <v>131</v>
      </c>
      <c r="K13" s="17"/>
      <c r="L13" s="17"/>
      <c r="M13" s="20">
        <v>46132</v>
      </c>
      <c r="N13" s="17" t="s">
        <v>106</v>
      </c>
      <c r="O13" s="21">
        <v>52</v>
      </c>
      <c r="P13" s="21">
        <v>11</v>
      </c>
      <c r="Q13" s="21">
        <f t="shared" si="0"/>
        <v>63</v>
      </c>
      <c r="R13" s="21">
        <v>350</v>
      </c>
      <c r="S13" s="21">
        <v>430</v>
      </c>
      <c r="T13" s="17" t="s">
        <v>132</v>
      </c>
      <c r="U13" s="17"/>
    </row>
    <row r="14" spans="1:21" ht="19.95" customHeight="1" x14ac:dyDescent="0.3">
      <c r="A14" s="23"/>
      <c r="B14" s="24"/>
      <c r="C14" s="25"/>
      <c r="D14" s="25"/>
      <c r="E14" s="24"/>
      <c r="F14" s="24"/>
      <c r="G14" s="24"/>
      <c r="H14" s="26"/>
      <c r="I14" s="24"/>
      <c r="J14" s="24"/>
      <c r="K14" s="24"/>
      <c r="L14" s="24"/>
      <c r="M14" s="20"/>
      <c r="N14" s="24"/>
      <c r="O14" s="27"/>
      <c r="P14" s="27"/>
      <c r="Q14" s="27">
        <f>SUM(O14:P14)</f>
        <v>0</v>
      </c>
      <c r="R14" s="27"/>
      <c r="S14" s="27"/>
      <c r="T14" s="24"/>
      <c r="U14" s="17"/>
    </row>
    <row r="15" spans="1:21" x14ac:dyDescent="0.3">
      <c r="A15" s="9" t="s">
        <v>61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2">
        <f>SUM(O2:O14)</f>
        <v>1252</v>
      </c>
      <c r="P15" s="22">
        <f>SUM(P2:P14)</f>
        <v>322</v>
      </c>
      <c r="Q15" s="11">
        <f>SUM(O15:P15)</f>
        <v>1574</v>
      </c>
      <c r="R15" s="22">
        <f>SUM(R2:R14)</f>
        <v>10980</v>
      </c>
      <c r="S15" s="22">
        <f>SUM(S2:S14)</f>
        <v>13360</v>
      </c>
      <c r="T15" s="10"/>
      <c r="U15" s="10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Ángel</cp:lastModifiedBy>
  <dcterms:created xsi:type="dcterms:W3CDTF">2026-04-19T09:31:41Z</dcterms:created>
  <dcterms:modified xsi:type="dcterms:W3CDTF">2026-04-22T09:17:37Z</dcterms:modified>
</cp:coreProperties>
</file>